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vguuCiSHFaNqX5N4Vb8fsuotO3rU9l6Nu5xpySx3iM="/>
    </ext>
  </extLst>
</workbook>
</file>

<file path=xl/sharedStrings.xml><?xml version="1.0" encoding="utf-8"?>
<sst xmlns="http://schemas.openxmlformats.org/spreadsheetml/2006/main" count="51" uniqueCount="35">
  <si>
    <t>PRN</t>
  </si>
  <si>
    <t>Name</t>
  </si>
  <si>
    <t>S1</t>
  </si>
  <si>
    <t>S2</t>
  </si>
  <si>
    <t>S3</t>
  </si>
  <si>
    <t>S4</t>
  </si>
  <si>
    <t>S5</t>
  </si>
  <si>
    <t>Op</t>
  </si>
  <si>
    <t>total</t>
  </si>
  <si>
    <t>Percentage</t>
  </si>
  <si>
    <t>Result</t>
  </si>
  <si>
    <t>Aarya Kulkarni</t>
  </si>
  <si>
    <t>a</t>
  </si>
  <si>
    <t>Rohan Deshmukh</t>
  </si>
  <si>
    <t>c</t>
  </si>
  <si>
    <t>Sneha Patil</t>
  </si>
  <si>
    <t>b</t>
  </si>
  <si>
    <t>Karan Jadhav</t>
  </si>
  <si>
    <t>d</t>
  </si>
  <si>
    <t>Meera Joshi</t>
  </si>
  <si>
    <t>Shreyas Pawar</t>
  </si>
  <si>
    <t>Anjali Shinde</t>
  </si>
  <si>
    <t>Omkar Kadam</t>
  </si>
  <si>
    <t>Prachi Salunkhe</t>
  </si>
  <si>
    <t>Aditya Chavan</t>
  </si>
  <si>
    <t>Rutuja Gaikwad</t>
  </si>
  <si>
    <t>Varun More</t>
  </si>
  <si>
    <t>Neha Satpute</t>
  </si>
  <si>
    <t>Siddharth Naik</t>
  </si>
  <si>
    <t>Isha Patankar</t>
  </si>
  <si>
    <t>Yash Bhosale</t>
  </si>
  <si>
    <t>Komal Rane</t>
  </si>
  <si>
    <t>Hrishikesh Lokhande</t>
  </si>
  <si>
    <t>Pooja Khatavkar</t>
  </si>
  <si>
    <t>Tejas Gholap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</si>
</sst>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9.86"/>
    <col customWidth="1" min="3" max="8" width="8.71"/>
    <col customWidth="1" min="9" max="9" width="10.71"/>
    <col customWidth="1" min="10" max="10" width="11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>
      <c r="A2" s="3">
        <v>2.02501001E8</v>
      </c>
      <c r="B2" s="3" t="s">
        <v>11</v>
      </c>
      <c r="C2" s="1">
        <v>91.0</v>
      </c>
      <c r="D2" s="1">
        <v>94.0</v>
      </c>
      <c r="E2" s="1">
        <v>83.0</v>
      </c>
      <c r="F2" s="1">
        <v>81.0</v>
      </c>
      <c r="G2" s="1">
        <v>82.0</v>
      </c>
      <c r="H2" s="1" t="s">
        <v>12</v>
      </c>
      <c r="I2" s="1">
        <f t="shared" ref="I2:I21" si="1">SUM(C2:H2)</f>
        <v>431</v>
      </c>
      <c r="J2" s="1">
        <f t="shared" ref="J2:J21" si="2">AVERAGE(C2:H2)</f>
        <v>86.2</v>
      </c>
      <c r="K2" s="1" t="str">
        <f t="shared" ref="K2:K21" si="3">IF(AND(D2&gt;=50,C2&gt;=50,E2&gt;=50,F2&gt;=50,G2&gt;=50, OR(H2="a",  H2="b",  H2="c" )),"Pass", "Fail")</f>
        <v>Pass</v>
      </c>
    </row>
    <row r="3">
      <c r="A3" s="3">
        <v>2.02501002E8</v>
      </c>
      <c r="B3" s="3" t="s">
        <v>13</v>
      </c>
      <c r="C3" s="1">
        <v>87.0</v>
      </c>
      <c r="D3" s="1">
        <v>84.0</v>
      </c>
      <c r="E3" s="1">
        <v>75.0</v>
      </c>
      <c r="F3" s="1">
        <v>85.0</v>
      </c>
      <c r="G3" s="1">
        <v>89.0</v>
      </c>
      <c r="H3" s="1" t="s">
        <v>14</v>
      </c>
      <c r="I3" s="1">
        <f t="shared" si="1"/>
        <v>420</v>
      </c>
      <c r="J3" s="1">
        <f t="shared" si="2"/>
        <v>84</v>
      </c>
      <c r="K3" s="1" t="str">
        <f t="shared" si="3"/>
        <v>Pass</v>
      </c>
    </row>
    <row r="4">
      <c r="A4" s="3">
        <v>2.02501003E8</v>
      </c>
      <c r="B4" s="3" t="s">
        <v>15</v>
      </c>
      <c r="C4" s="1">
        <v>78.0</v>
      </c>
      <c r="D4" s="1">
        <v>90.0</v>
      </c>
      <c r="E4" s="1">
        <v>78.0</v>
      </c>
      <c r="F4" s="1">
        <v>90.0</v>
      </c>
      <c r="G4" s="1">
        <v>79.0</v>
      </c>
      <c r="H4" s="1" t="s">
        <v>16</v>
      </c>
      <c r="I4" s="1">
        <f t="shared" si="1"/>
        <v>415</v>
      </c>
      <c r="J4" s="1">
        <f t="shared" si="2"/>
        <v>83</v>
      </c>
      <c r="K4" s="1" t="str">
        <f t="shared" si="3"/>
        <v>Pass</v>
      </c>
    </row>
    <row r="5">
      <c r="A5" s="3">
        <v>2.02501004E8</v>
      </c>
      <c r="B5" s="3" t="s">
        <v>17</v>
      </c>
      <c r="C5" s="1">
        <v>65.0</v>
      </c>
      <c r="D5" s="1">
        <v>87.0</v>
      </c>
      <c r="E5" s="1">
        <v>95.0</v>
      </c>
      <c r="F5" s="1">
        <v>84.0</v>
      </c>
      <c r="G5" s="1">
        <v>83.0</v>
      </c>
      <c r="H5" s="1" t="s">
        <v>18</v>
      </c>
      <c r="I5" s="1">
        <f t="shared" si="1"/>
        <v>414</v>
      </c>
      <c r="J5" s="1">
        <f t="shared" si="2"/>
        <v>82.8</v>
      </c>
      <c r="K5" s="1" t="str">
        <f t="shared" si="3"/>
        <v>Fail</v>
      </c>
    </row>
    <row r="6">
      <c r="A6" s="3">
        <v>2.02501005E8</v>
      </c>
      <c r="B6" s="3" t="s">
        <v>19</v>
      </c>
      <c r="C6" s="1">
        <v>78.0</v>
      </c>
      <c r="D6" s="1">
        <v>98.0</v>
      </c>
      <c r="E6" s="1">
        <v>89.0</v>
      </c>
      <c r="F6" s="1">
        <v>67.0</v>
      </c>
      <c r="G6" s="1">
        <v>78.0</v>
      </c>
      <c r="H6" s="1" t="s">
        <v>14</v>
      </c>
      <c r="I6" s="1">
        <f t="shared" si="1"/>
        <v>410</v>
      </c>
      <c r="J6" s="1">
        <f t="shared" si="2"/>
        <v>82</v>
      </c>
      <c r="K6" s="1" t="str">
        <f t="shared" si="3"/>
        <v>Pass</v>
      </c>
    </row>
    <row r="7">
      <c r="A7" s="3">
        <v>2.02501006E8</v>
      </c>
      <c r="B7" s="3" t="s">
        <v>20</v>
      </c>
      <c r="C7" s="1">
        <v>89.0</v>
      </c>
      <c r="D7" s="1">
        <v>76.0</v>
      </c>
      <c r="E7" s="1">
        <v>76.0</v>
      </c>
      <c r="F7" s="1">
        <v>89.0</v>
      </c>
      <c r="G7" s="1">
        <v>78.0</v>
      </c>
      <c r="H7" s="1" t="s">
        <v>12</v>
      </c>
      <c r="I7" s="1">
        <f t="shared" si="1"/>
        <v>408</v>
      </c>
      <c r="J7" s="1">
        <f t="shared" si="2"/>
        <v>81.6</v>
      </c>
      <c r="K7" s="1" t="str">
        <f t="shared" si="3"/>
        <v>Pass</v>
      </c>
    </row>
    <row r="8">
      <c r="A8" s="3">
        <v>2.02501007E8</v>
      </c>
      <c r="B8" s="3" t="s">
        <v>21</v>
      </c>
      <c r="C8" s="1">
        <v>67.0</v>
      </c>
      <c r="D8" s="1">
        <v>67.0</v>
      </c>
      <c r="E8" s="1">
        <v>89.0</v>
      </c>
      <c r="F8" s="1">
        <v>90.0</v>
      </c>
      <c r="G8" s="1">
        <v>89.0</v>
      </c>
      <c r="H8" s="1" t="s">
        <v>14</v>
      </c>
      <c r="I8" s="1">
        <f t="shared" si="1"/>
        <v>402</v>
      </c>
      <c r="J8" s="1">
        <f t="shared" si="2"/>
        <v>80.4</v>
      </c>
      <c r="K8" s="1" t="str">
        <f t="shared" si="3"/>
        <v>Pass</v>
      </c>
    </row>
    <row r="9">
      <c r="A9" s="3">
        <v>2.02501008E8</v>
      </c>
      <c r="B9" s="3" t="s">
        <v>22</v>
      </c>
      <c r="C9" s="1">
        <v>78.0</v>
      </c>
      <c r="D9" s="1">
        <v>89.0</v>
      </c>
      <c r="E9" s="1">
        <v>78.0</v>
      </c>
      <c r="F9" s="1">
        <v>78.0</v>
      </c>
      <c r="G9" s="1">
        <v>78.0</v>
      </c>
      <c r="H9" s="1" t="s">
        <v>12</v>
      </c>
      <c r="I9" s="1">
        <f t="shared" si="1"/>
        <v>401</v>
      </c>
      <c r="J9" s="1">
        <f t="shared" si="2"/>
        <v>80.2</v>
      </c>
      <c r="K9" s="1" t="str">
        <f t="shared" si="3"/>
        <v>Pass</v>
      </c>
    </row>
    <row r="10">
      <c r="A10" s="3">
        <v>2.02501009E8</v>
      </c>
      <c r="B10" s="3" t="s">
        <v>23</v>
      </c>
      <c r="C10" s="1">
        <v>67.0</v>
      </c>
      <c r="D10" s="1">
        <v>97.0</v>
      </c>
      <c r="E10" s="1">
        <v>89.0</v>
      </c>
      <c r="F10" s="1">
        <v>48.0</v>
      </c>
      <c r="G10" s="1">
        <v>98.0</v>
      </c>
      <c r="H10" s="1" t="s">
        <v>14</v>
      </c>
      <c r="I10" s="1">
        <f t="shared" si="1"/>
        <v>399</v>
      </c>
      <c r="J10" s="1">
        <f t="shared" si="2"/>
        <v>79.8</v>
      </c>
      <c r="K10" s="1" t="str">
        <f t="shared" si="3"/>
        <v>Fail</v>
      </c>
    </row>
    <row r="11">
      <c r="A11" s="3">
        <v>2.0250101E8</v>
      </c>
      <c r="B11" s="3" t="s">
        <v>24</v>
      </c>
      <c r="C11" s="1">
        <v>80.0</v>
      </c>
      <c r="D11" s="1">
        <v>74.0</v>
      </c>
      <c r="E11" s="1">
        <v>64.0</v>
      </c>
      <c r="F11" s="1">
        <v>64.0</v>
      </c>
      <c r="G11" s="1">
        <v>98.0</v>
      </c>
      <c r="H11" s="1" t="s">
        <v>14</v>
      </c>
      <c r="I11" s="1">
        <f t="shared" si="1"/>
        <v>380</v>
      </c>
      <c r="J11" s="1">
        <f t="shared" si="2"/>
        <v>76</v>
      </c>
      <c r="K11" s="1" t="str">
        <f t="shared" si="3"/>
        <v>Pass</v>
      </c>
    </row>
    <row r="12">
      <c r="A12" s="3">
        <v>2.02501011E8</v>
      </c>
      <c r="B12" s="3" t="s">
        <v>25</v>
      </c>
      <c r="C12" s="1">
        <v>67.0</v>
      </c>
      <c r="D12" s="1">
        <v>98.0</v>
      </c>
      <c r="E12" s="1">
        <v>89.0</v>
      </c>
      <c r="F12" s="1">
        <v>67.0</v>
      </c>
      <c r="G12" s="1">
        <v>56.0</v>
      </c>
      <c r="H12" s="1" t="s">
        <v>18</v>
      </c>
      <c r="I12" s="1">
        <f t="shared" si="1"/>
        <v>377</v>
      </c>
      <c r="J12" s="1">
        <f t="shared" si="2"/>
        <v>75.4</v>
      </c>
      <c r="K12" s="1" t="str">
        <f t="shared" si="3"/>
        <v>Fail</v>
      </c>
    </row>
    <row r="13">
      <c r="A13" s="3">
        <v>2.02501012E8</v>
      </c>
      <c r="B13" s="3" t="s">
        <v>26</v>
      </c>
      <c r="C13" s="1">
        <v>67.0</v>
      </c>
      <c r="D13" s="1">
        <v>98.0</v>
      </c>
      <c r="E13" s="1">
        <v>68.0</v>
      </c>
      <c r="F13" s="1">
        <v>65.0</v>
      </c>
      <c r="G13" s="1">
        <v>74.0</v>
      </c>
      <c r="H13" s="1" t="s">
        <v>18</v>
      </c>
      <c r="I13" s="1">
        <f t="shared" si="1"/>
        <v>372</v>
      </c>
      <c r="J13" s="1">
        <f t="shared" si="2"/>
        <v>74.4</v>
      </c>
      <c r="K13" s="1" t="str">
        <f t="shared" si="3"/>
        <v>Fail</v>
      </c>
    </row>
    <row r="14">
      <c r="A14" s="3">
        <v>2.02501013E8</v>
      </c>
      <c r="B14" s="3" t="s">
        <v>27</v>
      </c>
      <c r="C14" s="1">
        <v>56.0</v>
      </c>
      <c r="D14" s="1">
        <v>87.0</v>
      </c>
      <c r="E14" s="1">
        <v>76.0</v>
      </c>
      <c r="F14" s="1">
        <v>65.0</v>
      </c>
      <c r="G14" s="1">
        <v>87.0</v>
      </c>
      <c r="H14" s="1" t="s">
        <v>18</v>
      </c>
      <c r="I14" s="1">
        <f t="shared" si="1"/>
        <v>371</v>
      </c>
      <c r="J14" s="1">
        <f t="shared" si="2"/>
        <v>74.2</v>
      </c>
      <c r="K14" s="1" t="str">
        <f t="shared" si="3"/>
        <v>Fail</v>
      </c>
    </row>
    <row r="15">
      <c r="A15" s="3">
        <v>2.02501014E8</v>
      </c>
      <c r="B15" s="3" t="s">
        <v>28</v>
      </c>
      <c r="C15" s="1">
        <v>90.0</v>
      </c>
      <c r="D15" s="1">
        <v>78.0</v>
      </c>
      <c r="E15" s="1">
        <v>32.0</v>
      </c>
      <c r="F15" s="1">
        <v>92.0</v>
      </c>
      <c r="G15" s="1">
        <v>75.0</v>
      </c>
      <c r="H15" s="1" t="s">
        <v>16</v>
      </c>
      <c r="I15" s="1">
        <f t="shared" si="1"/>
        <v>367</v>
      </c>
      <c r="J15" s="1">
        <f t="shared" si="2"/>
        <v>73.4</v>
      </c>
      <c r="K15" s="1" t="str">
        <f t="shared" si="3"/>
        <v>Fail</v>
      </c>
    </row>
    <row r="16">
      <c r="A16" s="3">
        <v>2.02501015E8</v>
      </c>
      <c r="B16" s="3" t="s">
        <v>29</v>
      </c>
      <c r="C16" s="1">
        <v>89.0</v>
      </c>
      <c r="D16" s="1">
        <v>45.0</v>
      </c>
      <c r="E16" s="1">
        <v>87.0</v>
      </c>
      <c r="F16" s="1">
        <v>78.0</v>
      </c>
      <c r="G16" s="1">
        <v>67.0</v>
      </c>
      <c r="H16" s="1" t="s">
        <v>16</v>
      </c>
      <c r="I16" s="1">
        <f t="shared" si="1"/>
        <v>366</v>
      </c>
      <c r="J16" s="1">
        <f t="shared" si="2"/>
        <v>73.2</v>
      </c>
      <c r="K16" s="1" t="str">
        <f t="shared" si="3"/>
        <v>Fail</v>
      </c>
    </row>
    <row r="17">
      <c r="A17" s="3">
        <v>2.02501016E8</v>
      </c>
      <c r="B17" s="3" t="s">
        <v>30</v>
      </c>
      <c r="C17" s="1">
        <v>54.0</v>
      </c>
      <c r="D17" s="1">
        <v>65.0</v>
      </c>
      <c r="E17" s="1">
        <v>67.0</v>
      </c>
      <c r="F17" s="1">
        <v>80.0</v>
      </c>
      <c r="G17" s="1">
        <v>97.0</v>
      </c>
      <c r="H17" s="1" t="s">
        <v>16</v>
      </c>
      <c r="I17" s="1">
        <f t="shared" si="1"/>
        <v>363</v>
      </c>
      <c r="J17" s="1">
        <f t="shared" si="2"/>
        <v>72.6</v>
      </c>
      <c r="K17" s="1" t="str">
        <f t="shared" si="3"/>
        <v>Pass</v>
      </c>
    </row>
    <row r="18">
      <c r="A18" s="3">
        <v>2.02501017E8</v>
      </c>
      <c r="B18" s="3" t="s">
        <v>31</v>
      </c>
      <c r="C18" s="1">
        <v>45.0</v>
      </c>
      <c r="D18" s="1">
        <v>65.0</v>
      </c>
      <c r="E18" s="1">
        <v>76.0</v>
      </c>
      <c r="F18" s="1">
        <v>87.0</v>
      </c>
      <c r="G18" s="1">
        <v>89.0</v>
      </c>
      <c r="H18" s="1" t="s">
        <v>16</v>
      </c>
      <c r="I18" s="1">
        <f t="shared" si="1"/>
        <v>362</v>
      </c>
      <c r="J18" s="1">
        <f t="shared" si="2"/>
        <v>72.4</v>
      </c>
      <c r="K18" s="1" t="str">
        <f t="shared" si="3"/>
        <v>Fail</v>
      </c>
    </row>
    <row r="19">
      <c r="A19" s="3">
        <v>2.02501018E8</v>
      </c>
      <c r="B19" s="3" t="s">
        <v>32</v>
      </c>
      <c r="C19" s="1">
        <v>67.0</v>
      </c>
      <c r="D19" s="1">
        <v>78.0</v>
      </c>
      <c r="E19" s="1">
        <v>89.0</v>
      </c>
      <c r="F19" s="1">
        <v>57.0</v>
      </c>
      <c r="G19" s="1">
        <v>67.0</v>
      </c>
      <c r="H19" s="1" t="s">
        <v>18</v>
      </c>
      <c r="I19" s="1">
        <f t="shared" si="1"/>
        <v>358</v>
      </c>
      <c r="J19" s="1">
        <f t="shared" si="2"/>
        <v>71.6</v>
      </c>
      <c r="K19" s="1" t="str">
        <f t="shared" si="3"/>
        <v>Fail</v>
      </c>
    </row>
    <row r="20">
      <c r="A20" s="3">
        <v>2.02501019E8</v>
      </c>
      <c r="B20" s="3" t="s">
        <v>33</v>
      </c>
      <c r="C20" s="1">
        <v>54.0</v>
      </c>
      <c r="D20" s="1">
        <v>56.0</v>
      </c>
      <c r="E20" s="1">
        <v>76.0</v>
      </c>
      <c r="F20" s="1">
        <v>78.0</v>
      </c>
      <c r="G20" s="1">
        <v>89.0</v>
      </c>
      <c r="H20" s="1" t="s">
        <v>12</v>
      </c>
      <c r="I20" s="1">
        <f t="shared" si="1"/>
        <v>353</v>
      </c>
      <c r="J20" s="1">
        <f t="shared" si="2"/>
        <v>70.6</v>
      </c>
      <c r="K20" s="1" t="str">
        <f t="shared" si="3"/>
        <v>Pass</v>
      </c>
    </row>
    <row r="21" ht="15.75" customHeight="1">
      <c r="A21" s="3">
        <v>2.0250102E8</v>
      </c>
      <c r="B21" s="3" t="s">
        <v>34</v>
      </c>
      <c r="C21" s="1">
        <v>78.0</v>
      </c>
      <c r="D21" s="1">
        <v>24.0</v>
      </c>
      <c r="E21" s="1">
        <v>86.0</v>
      </c>
      <c r="F21" s="1">
        <v>67.0</v>
      </c>
      <c r="G21" s="1">
        <v>65.0</v>
      </c>
      <c r="H21" s="1" t="s">
        <v>12</v>
      </c>
      <c r="I21" s="1">
        <f t="shared" si="1"/>
        <v>320</v>
      </c>
      <c r="J21" s="1">
        <f t="shared" si="2"/>
        <v>64</v>
      </c>
      <c r="K21" s="1" t="str">
        <f t="shared" si="3"/>
        <v>Fail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2025-10-08T03:48:44Z</dcterms:created>
  <dc:creator>SIT NGP. LAB6</dc:creator>
</cp:coreProperties>
</file>